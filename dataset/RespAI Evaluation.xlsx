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<sst xmlns="http://schemas.openxmlformats.org/spreadsheetml/2006/main" count="43" uniqueCount="43">
  <si>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RespAI — Model Evaluation Test Log</t>
  </si>
  <si>
    <t xml:space="preserve">Sensitivity / Specificity / Precision / Recall calculation based on 60 labeled chest X-ray images</t>
  </si>
  <si>
    <t xml:space="preserve">No.</t>
  </si>
  <si>
    <t xml:space="preserve">Image Filename</t>
  </si>
  <si>
    <t xml:space="preserve">True Diagnosis
(Ground Truth)</t>
  </si>
  <si>
    <t xml:space="preserve">Has Disease?
(Yes/No)</t>
  </si>
  <si>
    <t xml:space="preserve">Model Top Finding</t>
  </si>
  <si>
    <t xml:space="preserve">Model Probability %</t>
  </si>
  <si>
    <t xml:space="preserve">Model Flagged?
(Yes/No)</t>
  </si>
  <si>
    <t xml:space="preserve">Result Type</t>
  </si>
  <si>
    <t xml:space="preserve">Notes</t>
  </si>
  <si>
    <t xml:space="preserve">Confusion Matrix Summary</t>
  </si>
  <si>
    <t xml:space="preserve">True Positives (TP)</t>
  </si>
  <si>
    <t xml:space="preserve">True Negatives (TN)</t>
  </si>
  <si>
    <t xml:space="preserve">False Positives (FP)</t>
  </si>
  <si>
    <t xml:space="preserve">False Negatives (FN)</t>
  </si>
  <si>
    <t xml:space="preserve">Evaluation Metrics</t>
  </si>
  <si>
    <t xml:space="preserve">Sensitivity (Recall)</t>
  </si>
  <si>
    <t xml:space="preserve">TP / (TP + FN) — ability to detect actual disease cases</t>
  </si>
  <si>
    <t xml:space="preserve">Specificity</t>
  </si>
  <si>
    <t xml:space="preserve">TN / (TN + FP) — ability to correctly identify healthy cases</t>
  </si>
  <si>
    <t xml:space="preserve">Precision</t>
  </si>
  <si>
    <t xml:space="preserve">TP / (TP + FP) — of flagged cases, how many were truly diseased</t>
  </si>
  <si>
    <t xml:space="preserve">Accuracy</t>
  </si>
  <si>
    <t xml:space="preserve">(TP+TN) / Total — overall correct rate</t>
  </si>
  <si>
    <t xml:space="preserve">F1 Score</t>
  </si>
  <si>
    <t xml:space="preserve">Harmonic mean of Precision and Sensitivity</t>
  </si>
  <si>
    <t xml:space="preserve">How to use this sheet</t>
  </si>
  <si>
    <t xml:space="preserve">1. Download 30 NORMAL and 30 PNEUMONIA images from the Kaggle chest X-ray dataset.</t>
  </si>
  <si>
    <t xml:space="preserve">2. For each image, fill in columns A-D and F-G manually after testing on RespAI:</t>
  </si>
  <si>
    <t xml:space="preserve">   - Column B: image filename</t>
  </si>
  <si>
    <t xml:space="preserve">   - Column C: the TRUE diagnosis (from the dataset folder name)</t>
  </si>
  <si>
    <t xml:space="preserve">   - Column D: type "Yes" if the true diagnosis has a disease, "No" if normal</t>
  </si>
  <si>
    <t xml:space="preserve">   - Column E: the top finding RespAI displayed (e.g. "Pneumonia")</t>
  </si>
  <si>
    <t xml:space="preserve">   - Column F: the probability % RespAI showed for that finding</t>
  </si>
  <si>
    <t xml:space="preserve">   - Column G: type "Yes" if RespAI flagged it (&gt;=50%), "No" if it showed "No Significant Findings"</t>
  </si>
  <si>
    <t xml:space="preserve">3. Column H (Result Type) calculates automatically: TP / TN / FP / FN</t>
  </si>
  <si>
    <t xml:space="preserve">4. Scroll to the bottom of "Test Results" sheet to see Sensitivity, Specificity, Precision, Accuracy, F1 calculated automatically.</t>
  </si>
  <si>
    <t xml:space="preserve">Definitions:</t>
  </si>
  <si>
    <t xml:space="preserve">TP (True Positive): Disease present AND model flagged it correctly</t>
  </si>
  <si>
    <t xml:space="preserve">TN (True Negative): No disease AND model correctly showed no findings</t>
  </si>
  <si>
    <t xml:space="preserve">FP (False Positive): No disease BUT model incorrectly flagged something</t>
  </si>
  <si>
    <t xml:space="preserve">FN (False Negative): Disease present BUT model missed it (most critical error in medical AI)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</si>
</sst>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57FF"/>
      <name val="Arial"/>
      <family val="0"/>
      <charset val="1"/>
    </font>
    <font>
      <i val="true"/>
      <sz val="10"/>
      <color rgb="FF5A6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0057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A6A8A"/>
      <name val="Arial"/>
      <family val="0"/>
      <charset val="1"/>
    </font>
    <font>
      <b val="true"/>
      <sz val="14"/>
      <color rgb="FF0057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57FF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AF0"/>
      </left>
      <right style="thin">
        <color rgb="FFD0DAF0"/>
      </right>
      <top style="thin">
        <color rgb="FFD0DAF0"/>
      </top>
      <bottom style="thin">
        <color rgb="FFD0DA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7FF"/>
      <rgbColor rgb="FFD0DA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/>
      <c r="C5" s="4"/>
      <c r="D5" s="4"/>
      <c r="E5" s="4"/>
      <c r="F5" s="4"/>
      <c r="G5" s="4"/>
      <c r="H5" s="4" t="str">
        <f aca="false">IF(D5="","",IF(AND(D5="Yes",G5="Yes"),"TP",IF(AND(D5="No",G5="No"),"TN",IF(AND(D5="No",G5="Yes"),"FP",IF(AND(D5="Yes",G5="No"),"FN","")))))</f>
        <v/>
      </c>
      <c r="I5" s="4"/>
    </row>
    <row r="6" customFormat="false" ht="15" hidden="false" customHeight="false" outlineLevel="0" collapsed="false">
      <c r="A6" s="4" t="n">
        <v>2</v>
      </c>
      <c r="B6" s="4"/>
      <c r="C6" s="4"/>
      <c r="D6" s="4"/>
      <c r="E6" s="4"/>
      <c r="F6" s="4"/>
      <c r="G6" s="4"/>
      <c r="H6" s="4" t="str">
        <f aca="false">IF(D6="","",IF(AND(D6="Yes",G6="Yes"),"TP",IF(AND(D6="No",G6="No"),"TN",IF(AND(D6="No",G6="Yes"),"FP",IF(AND(D6="Yes",G6="No"),"FN","")))))</f>
        <v/>
      </c>
      <c r="I6" s="4"/>
    </row>
    <row r="7" customFormat="false" ht="15" hidden="false" customHeight="false" outlineLevel="0" collapsed="false">
      <c r="A7" s="4" t="n">
        <v>3</v>
      </c>
      <c r="B7" s="4"/>
      <c r="C7" s="4"/>
      <c r="D7" s="4"/>
      <c r="E7" s="4"/>
      <c r="F7" s="4"/>
      <c r="G7" s="4"/>
      <c r="H7" s="4" t="str">
        <f aca="false">IF(D7="","",IF(AND(D7="Yes",G7="Yes"),"TP",IF(AND(D7="No",G7="No"),"TN",IF(AND(D7="No",G7="Yes"),"FP",IF(AND(D7="Yes",G7="No"),"FN","")))))</f>
        <v/>
      </c>
      <c r="I7" s="4"/>
    </row>
    <row r="8" customFormat="false" ht="15" hidden="false" customHeight="false" outlineLevel="0" collapsed="false">
      <c r="A8" s="4" t="n">
        <v>4</v>
      </c>
      <c r="B8" s="4"/>
      <c r="C8" s="4"/>
      <c r="D8" s="4"/>
      <c r="E8" s="4"/>
      <c r="F8" s="4"/>
      <c r="G8" s="4"/>
      <c r="H8" s="4" t="str">
        <f aca="false">IF(D8="","",IF(AND(D8="Yes",G8="Yes"),"TP",IF(AND(D8="No",G8="No"),"TN",IF(AND(D8="No",G8="Yes"),"FP",IF(AND(D8="Yes",G8="No"),"FN","")))))</f>
        <v/>
      </c>
      <c r="I8" s="4"/>
    </row>
    <row r="9" customFormat="false" ht="15" hidden="false" customHeight="false" outlineLevel="0" collapsed="false">
      <c r="A9" s="4" t="n">
        <v>5</v>
      </c>
      <c r="B9" s="4"/>
      <c r="C9" s="4"/>
      <c r="D9" s="4"/>
      <c r="E9" s="4"/>
      <c r="F9" s="4"/>
      <c r="G9" s="4"/>
      <c r="H9" s="4" t="str">
        <f aca="false">IF(D9="","",IF(AND(D9="Yes",G9="Yes"),"TP",IF(AND(D9="No",G9="No"),"TN",IF(AND(D9="No",G9="Yes"),"FP",IF(AND(D9="Yes",G9="No"),"FN","")))))</f>
        <v/>
      </c>
      <c r="I9" s="4"/>
    </row>
    <row r="10" customFormat="false" ht="15" hidden="false" customHeight="false" outlineLevel="0" collapsed="false">
      <c r="A10" s="4" t="n">
        <v>6</v>
      </c>
      <c r="B10" s="4"/>
      <c r="C10" s="4"/>
      <c r="D10" s="4"/>
      <c r="E10" s="4"/>
      <c r="F10" s="4"/>
      <c r="G10" s="4"/>
      <c r="H10" s="4" t="str">
        <f aca="false">IF(D10="","",IF(AND(D10="Yes",G10="Yes"),"TP",IF(AND(D10="No",G10="No"),"TN",IF(AND(D10="No",G10="Yes"),"FP",IF(AND(D10="Yes",G10="No"),"FN","")))))</f>
        <v/>
      </c>
      <c r="I10" s="4"/>
    </row>
    <row r="11" customFormat="false" ht="15" hidden="false" customHeight="false" outlineLevel="0" collapsed="false">
      <c r="A11" s="4" t="n">
        <v>7</v>
      </c>
      <c r="B11" s="4"/>
      <c r="C11" s="4"/>
      <c r="D11" s="4"/>
      <c r="E11" s="4"/>
      <c r="F11" s="4"/>
      <c r="G11" s="4"/>
      <c r="H11" s="4" t="str">
        <f aca="false">IF(D11="","",IF(AND(D11="Yes",G11="Yes"),"TP",IF(AND(D11="No",G11="No"),"TN",IF(AND(D11="No",G11="Yes"),"FP",IF(AND(D11="Yes",G11="No"),"FN","")))))</f>
        <v/>
      </c>
      <c r="I11" s="4"/>
    </row>
    <row r="12" customFormat="false" ht="15" hidden="false" customHeight="false" outlineLevel="0" collapsed="false">
      <c r="A12" s="4" t="n">
        <v>8</v>
      </c>
      <c r="B12" s="4"/>
      <c r="C12" s="4"/>
      <c r="D12" s="4"/>
      <c r="E12" s="4"/>
      <c r="F12" s="4"/>
      <c r="G12" s="4"/>
      <c r="H12" s="4" t="str">
        <f aca="false">IF(D12="","",IF(AND(D12="Yes",G12="Yes"),"TP",IF(AND(D12="No",G12="No"),"TN",IF(AND(D12="No",G12="Yes"),"FP",IF(AND(D12="Yes",G12="No"),"FN","")))))</f>
        <v/>
      </c>
      <c r="I12" s="4"/>
    </row>
    <row r="13" customFormat="false" ht="15" hidden="false" customHeight="false" outlineLevel="0" collapsed="false">
      <c r="A13" s="4" t="n">
        <v>9</v>
      </c>
      <c r="B13" s="4"/>
      <c r="C13" s="4"/>
      <c r="D13" s="4"/>
      <c r="E13" s="4"/>
      <c r="F13" s="4"/>
      <c r="G13" s="4"/>
      <c r="H13" s="4" t="str">
        <f aca="false">IF(D13="","",IF(AND(D13="Yes",G13="Yes"),"TP",IF(AND(D13="No",G13="No"),"TN",IF(AND(D13="No",G13="Yes"),"FP",IF(AND(D13="Yes",G13="No"),"FN","")))))</f>
        <v/>
      </c>
      <c r="I13" s="4"/>
    </row>
    <row r="14" customFormat="false" ht="15" hidden="false" customHeight="false" outlineLevel="0" collapsed="false">
      <c r="A14" s="4" t="n">
        <v>10</v>
      </c>
      <c r="B14" s="4"/>
      <c r="C14" s="4"/>
      <c r="D14" s="4"/>
      <c r="E14" s="4"/>
      <c r="F14" s="4"/>
      <c r="G14" s="4"/>
      <c r="H14" s="4" t="str">
        <f aca="false">IF(D14="","",IF(AND(D14="Yes",G14="Yes"),"TP",IF(AND(D14="No",G14="No"),"TN",IF(AND(D14="No",G14="Yes"),"FP",IF(AND(D14="Yes",G14="No"),"FN","")))))</f>
        <v/>
      </c>
      <c r="I14" s="4"/>
    </row>
    <row r="15" customFormat="false" ht="15" hidden="false" customHeight="false" outlineLevel="0" collapsed="false">
      <c r="A15" s="4" t="n">
        <v>11</v>
      </c>
      <c r="B15" s="4"/>
      <c r="C15" s="4"/>
      <c r="D15" s="4"/>
      <c r="E15" s="4"/>
      <c r="F15" s="4"/>
      <c r="G15" s="4"/>
      <c r="H15" s="4" t="str">
        <f aca="false">IF(D15="","",IF(AND(D15="Yes",G15="Yes"),"TP",IF(AND(D15="No",G15="No"),"TN",IF(AND(D15="No",G15="Yes"),"FP",IF(AND(D15="Yes",G15="No"),"FN","")))))</f>
        <v/>
      </c>
      <c r="I15" s="4"/>
    </row>
    <row r="16" customFormat="false" ht="15" hidden="false" customHeight="false" outlineLevel="0" collapsed="false">
      <c r="A16" s="4" t="n">
        <v>12</v>
      </c>
      <c r="B16" s="4"/>
      <c r="C16" s="4"/>
      <c r="D16" s="4"/>
      <c r="E16" s="4"/>
      <c r="F16" s="4"/>
      <c r="G16" s="4"/>
      <c r="H16" s="4" t="str">
        <f aca="false">IF(D16="","",IF(AND(D16="Yes",G16="Yes"),"TP",IF(AND(D16="No",G16="No"),"TN",IF(AND(D16="No",G16="Yes"),"FP",IF(AND(D16="Yes",G16="No"),"FN","")))))</f>
        <v/>
      </c>
      <c r="I16" s="4"/>
    </row>
    <row r="17" customFormat="false" ht="15" hidden="false" customHeight="false" outlineLevel="0" collapsed="false">
      <c r="A17" s="4" t="n">
        <v>13</v>
      </c>
      <c r="B17" s="4"/>
      <c r="C17" s="4"/>
      <c r="D17" s="4"/>
      <c r="E17" s="4"/>
      <c r="F17" s="4"/>
      <c r="G17" s="4"/>
      <c r="H17" s="4" t="str">
        <f aca="false">IF(D17="","",IF(AND(D17="Yes",G17="Yes"),"TP",IF(AND(D17="No",G17="No"),"TN",IF(AND(D17="No",G17="Yes"),"FP",IF(AND(D17="Yes",G17="No"),"FN","")))))</f>
        <v/>
      </c>
      <c r="I17" s="4"/>
    </row>
    <row r="18" customFormat="false" ht="15" hidden="false" customHeight="false" outlineLevel="0" collapsed="false">
      <c r="A18" s="4" t="n">
        <v>14</v>
      </c>
      <c r="B18" s="4"/>
      <c r="C18" s="4"/>
      <c r="D18" s="4"/>
      <c r="E18" s="4"/>
      <c r="F18" s="4"/>
      <c r="G18" s="4"/>
      <c r="H18" s="4" t="str">
        <f aca="false">IF(D18="","",IF(AND(D18="Yes",G18="Yes"),"TP",IF(AND(D18="No",G18="No"),"TN",IF(AND(D18="No",G18="Yes"),"FP",IF(AND(D18="Yes",G18="No"),"FN","")))))</f>
        <v/>
      </c>
      <c r="I18" s="4"/>
    </row>
    <row r="19" customFormat="false" ht="15" hidden="false" customHeight="false" outlineLevel="0" collapsed="false">
      <c r="A19" s="4" t="n">
        <v>15</v>
      </c>
      <c r="B19" s="4"/>
      <c r="C19" s="4"/>
      <c r="D19" s="4"/>
      <c r="E19" s="4"/>
      <c r="F19" s="4"/>
      <c r="G19" s="4"/>
      <c r="H19" s="4" t="str">
        <f aca="false">IF(D19="","",IF(AND(D19="Yes",G19="Yes"),"TP",IF(AND(D19="No",G19="No"),"TN",IF(AND(D19="No",G19="Yes"),"FP",IF(AND(D19="Yes",G19="No"),"FN","")))))</f>
        <v/>
      </c>
      <c r="I19" s="4"/>
    </row>
    <row r="20" customFormat="false" ht="15" hidden="false" customHeight="false" outlineLevel="0" collapsed="false">
      <c r="A20" s="4" t="n">
        <v>16</v>
      </c>
      <c r="B20" s="4"/>
      <c r="C20" s="4"/>
      <c r="D20" s="4"/>
      <c r="E20" s="4"/>
      <c r="F20" s="4"/>
      <c r="G20" s="4"/>
      <c r="H20" s="4" t="str">
        <f aca="false">IF(D20="","",IF(AND(D20="Yes",G20="Yes"),"TP",IF(AND(D20="No",G20="No"),"TN",IF(AND(D20="No",G20="Yes"),"FP",IF(AND(D20="Yes",G20="No"),"FN","")))))</f>
        <v/>
      </c>
      <c r="I20" s="4"/>
    </row>
    <row r="21" customFormat="false" ht="15" hidden="false" customHeight="false" outlineLevel="0" collapsed="false">
      <c r="A21" s="4" t="n">
        <v>17</v>
      </c>
      <c r="B21" s="4"/>
      <c r="C21" s="4"/>
      <c r="D21" s="4"/>
      <c r="E21" s="4"/>
      <c r="F21" s="4"/>
      <c r="G21" s="4"/>
      <c r="H21" s="4" t="str">
        <f aca="false">IF(D21="","",IF(AND(D21="Yes",G21="Yes"),"TP",IF(AND(D21="No",G21="No"),"TN",IF(AND(D21="No",G21="Yes"),"FP",IF(AND(D21="Yes",G21="No"),"FN","")))))</f>
        <v/>
      </c>
      <c r="I21" s="4"/>
    </row>
    <row r="22" customFormat="false" ht="15" hidden="false" customHeight="false" outlineLevel="0" collapsed="false">
      <c r="A22" s="4" t="n">
        <v>18</v>
      </c>
      <c r="B22" s="4"/>
      <c r="C22" s="4"/>
      <c r="D22" s="4"/>
      <c r="E22" s="4"/>
      <c r="F22" s="4"/>
      <c r="G22" s="4"/>
      <c r="H22" s="4" t="str">
        <f aca="false">IF(D22="","",IF(AND(D22="Yes",G22="Yes"),"TP",IF(AND(D22="No",G22="No"),"TN",IF(AND(D22="No",G22="Yes"),"FP",IF(AND(D22="Yes",G22="No"),"FN","")))))</f>
        <v/>
      </c>
      <c r="I22" s="4"/>
    </row>
    <row r="23" customFormat="false" ht="15" hidden="false" customHeight="false" outlineLevel="0" collapsed="false">
      <c r="A23" s="4" t="n">
        <v>19</v>
      </c>
      <c r="B23" s="4"/>
      <c r="C23" s="4"/>
      <c r="D23" s="4"/>
      <c r="E23" s="4"/>
      <c r="F23" s="4"/>
      <c r="G23" s="4"/>
      <c r="H23" s="4" t="str">
        <f aca="false">IF(D23="","",IF(AND(D23="Yes",G23="Yes"),"TP",IF(AND(D23="No",G23="No"),"TN",IF(AND(D23="No",G23="Yes"),"FP",IF(AND(D23="Yes",G23="No"),"FN","")))))</f>
        <v/>
      </c>
      <c r="I23" s="4"/>
    </row>
    <row r="24" customFormat="false" ht="15" hidden="false" customHeight="false" outlineLevel="0" collapsed="false">
      <c r="A24" s="4" t="n">
        <v>20</v>
      </c>
      <c r="B24" s="4"/>
      <c r="C24" s="4"/>
      <c r="D24" s="4"/>
      <c r="E24" s="4"/>
      <c r="F24" s="4"/>
      <c r="G24" s="4"/>
      <c r="H24" s="4" t="str">
        <f aca="false">IF(D24="","",IF(AND(D24="Yes",G24="Yes"),"TP",IF(AND(D24="No",G24="No"),"TN",IF(AND(D24="No",G24="Yes"),"FP",IF(AND(D24="Yes",G24="No"),"FN","")))))</f>
        <v/>
      </c>
      <c r="I24" s="4"/>
    </row>
    <row r="25" customFormat="false" ht="15" hidden="false" customHeight="false" outlineLevel="0" collapsed="false">
      <c r="A25" s="4" t="n">
        <v>21</v>
      </c>
      <c r="B25" s="4"/>
      <c r="C25" s="4"/>
      <c r="D25" s="4"/>
      <c r="E25" s="4"/>
      <c r="F25" s="4"/>
      <c r="G25" s="4"/>
      <c r="H25" s="4" t="str">
        <f aca="false">IF(D25="","",IF(AND(D25="Yes",G25="Yes"),"TP",IF(AND(D25="No",G25="No"),"TN",IF(AND(D25="No",G25="Yes"),"FP",IF(AND(D25="Yes",G25="No"),"FN","")))))</f>
        <v/>
      </c>
      <c r="I25" s="4"/>
    </row>
    <row r="26" customFormat="false" ht="15" hidden="false" customHeight="false" outlineLevel="0" collapsed="false">
      <c r="A26" s="4" t="n">
        <v>22</v>
      </c>
      <c r="B26" s="4"/>
      <c r="C26" s="4"/>
      <c r="D26" s="4"/>
      <c r="E26" s="4"/>
      <c r="F26" s="4"/>
      <c r="G26" s="4"/>
      <c r="H26" s="4" t="str">
        <f aca="false">IF(D26="","",IF(AND(D26="Yes",G26="Yes"),"TP",IF(AND(D26="No",G26="No"),"TN",IF(AND(D26="No",G26="Yes"),"FP",IF(AND(D26="Yes",G26="No"),"FN","")))))</f>
        <v/>
      </c>
      <c r="I26" s="4"/>
    </row>
    <row r="27" customFormat="false" ht="15" hidden="false" customHeight="false" outlineLevel="0" collapsed="false">
      <c r="A27" s="4" t="n">
        <v>23</v>
      </c>
      <c r="B27" s="4"/>
      <c r="C27" s="4"/>
      <c r="D27" s="4"/>
      <c r="E27" s="4"/>
      <c r="F27" s="4"/>
      <c r="G27" s="4"/>
      <c r="H27" s="4" t="str">
        <f aca="false">IF(D27="","",IF(AND(D27="Yes",G27="Yes"),"TP",IF(AND(D27="No",G27="No"),"TN",IF(AND(D27="No",G27="Yes"),"FP",IF(AND(D27="Yes",G27="No"),"FN","")))))</f>
        <v/>
      </c>
      <c r="I27" s="4"/>
    </row>
    <row r="28" customFormat="false" ht="15" hidden="false" customHeight="false" outlineLevel="0" collapsed="false">
      <c r="A28" s="4" t="n">
        <v>24</v>
      </c>
      <c r="B28" s="4"/>
      <c r="C28" s="4"/>
      <c r="D28" s="4"/>
      <c r="E28" s="4"/>
      <c r="F28" s="4"/>
      <c r="G28" s="4"/>
      <c r="H28" s="4" t="str">
        <f aca="false">IF(D28="","",IF(AND(D28="Yes",G28="Yes"),"TP",IF(AND(D28="No",G28="No"),"TN",IF(AND(D28="No",G28="Yes"),"FP",IF(AND(D28="Yes",G28="No"),"FN","")))))</f>
        <v/>
      </c>
      <c r="I28" s="4"/>
    </row>
    <row r="29" customFormat="false" ht="15" hidden="false" customHeight="false" outlineLevel="0" collapsed="false">
      <c r="A29" s="4" t="n">
        <v>25</v>
      </c>
      <c r="B29" s="4"/>
      <c r="C29" s="4"/>
      <c r="D29" s="4"/>
      <c r="E29" s="4"/>
      <c r="F29" s="4"/>
      <c r="G29" s="4"/>
      <c r="H29" s="4" t="str">
        <f aca="false">IF(D29="","",IF(AND(D29="Yes",G29="Yes"),"TP",IF(AND(D29="No",G29="No"),"TN",IF(AND(D29="No",G29="Yes"),"FP",IF(AND(D29="Yes",G29="No"),"FN","")))))</f>
        <v/>
      </c>
      <c r="I29" s="4"/>
    </row>
    <row r="30" customFormat="false" ht="15" hidden="false" customHeight="false" outlineLevel="0" collapsed="false">
      <c r="A30" s="4" t="n">
        <v>26</v>
      </c>
      <c r="B30" s="4"/>
      <c r="C30" s="4"/>
      <c r="D30" s="4"/>
      <c r="E30" s="4"/>
      <c r="F30" s="4"/>
      <c r="G30" s="4"/>
      <c r="H30" s="4" t="str">
        <f aca="false">IF(D30="","",IF(AND(D30="Yes",G30="Yes"),"TP",IF(AND(D30="No",G30="No"),"TN",IF(AND(D30="No",G30="Yes"),"FP",IF(AND(D30="Yes",G30="No"),"FN","")))))</f>
        <v/>
      </c>
      <c r="I30" s="4"/>
    </row>
    <row r="31" customFormat="false" ht="15" hidden="false" customHeight="false" outlineLevel="0" collapsed="false">
      <c r="A31" s="4" t="n">
        <v>27</v>
      </c>
      <c r="B31" s="4"/>
      <c r="C31" s="4"/>
      <c r="D31" s="4"/>
      <c r="E31" s="4"/>
      <c r="F31" s="4"/>
      <c r="G31" s="4"/>
      <c r="H31" s="4" t="str">
        <f aca="false">IF(D31="","",IF(AND(D31="Yes",G31="Yes"),"TP",IF(AND(D31="No",G31="No"),"TN",IF(AND(D31="No",G31="Yes"),"FP",IF(AND(D31="Yes",G31="No"),"FN","")))))</f>
        <v/>
      </c>
      <c r="I31" s="4"/>
    </row>
    <row r="32" customFormat="false" ht="15" hidden="false" customHeight="false" outlineLevel="0" collapsed="false">
      <c r="A32" s="4" t="n">
        <v>28</v>
      </c>
      <c r="B32" s="4"/>
      <c r="C32" s="4"/>
      <c r="D32" s="4"/>
      <c r="E32" s="4"/>
      <c r="F32" s="4"/>
      <c r="G32" s="4"/>
      <c r="H32" s="4" t="str">
        <f aca="false">IF(D32="","",IF(AND(D32="Yes",G32="Yes"),"TP",IF(AND(D32="No",G32="No"),"TN",IF(AND(D32="No",G32="Yes"),"FP",IF(AND(D32="Yes",G32="No"),"FN","")))))</f>
        <v/>
      </c>
      <c r="I32" s="4"/>
    </row>
    <row r="33" customFormat="false" ht="15" hidden="false" customHeight="false" outlineLevel="0" collapsed="false">
      <c r="A33" s="4" t="n">
        <v>29</v>
      </c>
      <c r="B33" s="4"/>
      <c r="C33" s="4"/>
      <c r="D33" s="4"/>
      <c r="E33" s="4"/>
      <c r="F33" s="4"/>
      <c r="G33" s="4"/>
      <c r="H33" s="4" t="str">
        <f aca="false">IF(D33="","",IF(AND(D33="Yes",G33="Yes"),"TP",IF(AND(D33="No",G33="No"),"TN",IF(AND(D33="No",G33="Yes"),"FP",IF(AND(D33="Yes",G33="No"),"FN","")))))</f>
        <v/>
      </c>
      <c r="I33" s="4"/>
    </row>
    <row r="34" customFormat="false" ht="15" hidden="false" customHeight="false" outlineLevel="0" collapsed="false">
      <c r="A34" s="4" t="n">
        <v>30</v>
      </c>
      <c r="B34" s="4"/>
      <c r="C34" s="4"/>
      <c r="D34" s="4"/>
      <c r="E34" s="4"/>
      <c r="F34" s="4"/>
      <c r="G34" s="4"/>
      <c r="H34" s="4" t="str">
        <f aca="false">IF(D34="","",IF(AND(D34="Yes",G34="Yes"),"TP",IF(AND(D34="No",G34="No"),"TN",IF(AND(D34="No",G34="Yes"),"FP",IF(AND(D34="Yes",G34="No"),"FN","")))))</f>
        <v/>
      </c>
      <c r="I34" s="4"/>
    </row>
    <row r="35" customFormat="false" ht="15" hidden="false" customHeight="false" outlineLevel="0" collapsed="false">
      <c r="A35" s="4" t="n">
        <v>31</v>
      </c>
      <c r="B35" s="4"/>
      <c r="C35" s="4"/>
      <c r="D35" s="4"/>
      <c r="E35" s="4"/>
      <c r="F35" s="4"/>
      <c r="G35" s="4"/>
      <c r="H35" s="4" t="str">
        <f aca="false">IF(D35="","",IF(AND(D35="Yes",G35="Yes"),"TP",IF(AND(D35="No",G35="No"),"TN",IF(AND(D35="No",G35="Yes"),"FP",IF(AND(D35="Yes",G35="No"),"FN","")))))</f>
        <v/>
      </c>
      <c r="I35" s="4"/>
    </row>
    <row r="36" customFormat="false" ht="15" hidden="false" customHeight="false" outlineLevel="0" collapsed="false">
      <c r="A36" s="4" t="n">
        <v>32</v>
      </c>
      <c r="B36" s="4"/>
      <c r="C36" s="4"/>
      <c r="D36" s="4"/>
      <c r="E36" s="4"/>
      <c r="F36" s="4"/>
      <c r="G36" s="4"/>
      <c r="H36" s="4" t="str">
        <f aca="false">IF(D36="","",IF(AND(D36="Yes",G36="Yes"),"TP",IF(AND(D36="No",G36="No"),"TN",IF(AND(D36="No",G36="Yes"),"FP",IF(AND(D36="Yes",G36="No"),"FN","")))))</f>
        <v/>
      </c>
      <c r="I36" s="4"/>
    </row>
    <row r="37" customFormat="false" ht="15" hidden="false" customHeight="false" outlineLevel="0" collapsed="false">
      <c r="A37" s="4" t="n">
        <v>33</v>
      </c>
      <c r="B37" s="4"/>
      <c r="C37" s="4"/>
      <c r="D37" s="4"/>
      <c r="E37" s="4"/>
      <c r="F37" s="4"/>
      <c r="G37" s="4"/>
      <c r="H37" s="4" t="str">
        <f aca="false">IF(D37="","",IF(AND(D37="Yes",G37="Yes"),"TP",IF(AND(D37="No",G37="No"),"TN",IF(AND(D37="No",G37="Yes"),"FP",IF(AND(D37="Yes",G37="No"),"FN","")))))</f>
        <v/>
      </c>
      <c r="I37" s="4"/>
    </row>
    <row r="38" customFormat="false" ht="15" hidden="false" customHeight="false" outlineLevel="0" collapsed="false">
      <c r="A38" s="4" t="n">
        <v>34</v>
      </c>
      <c r="B38" s="4"/>
      <c r="C38" s="4"/>
      <c r="D38" s="4"/>
      <c r="E38" s="4"/>
      <c r="F38" s="4"/>
      <c r="G38" s="4"/>
      <c r="H38" s="4" t="str">
        <f aca="false">IF(D38="","",IF(AND(D38="Yes",G38="Yes"),"TP",IF(AND(D38="No",G38="No"),"TN",IF(AND(D38="No",G38="Yes"),"FP",IF(AND(D38="Yes",G38="No"),"FN","")))))</f>
        <v/>
      </c>
      <c r="I38" s="4"/>
    </row>
    <row r="39" customFormat="false" ht="15" hidden="false" customHeight="false" outlineLevel="0" collapsed="false">
      <c r="A39" s="4" t="n">
        <v>35</v>
      </c>
      <c r="B39" s="4"/>
      <c r="C39" s="4"/>
      <c r="D39" s="4"/>
      <c r="E39" s="4"/>
      <c r="F39" s="4"/>
      <c r="G39" s="4"/>
      <c r="H39" s="4" t="str">
        <f aca="false">IF(D39="","",IF(AND(D39="Yes",G39="Yes"),"TP",IF(AND(D39="No",G39="No"),"TN",IF(AND(D39="No",G39="Yes"),"FP",IF(AND(D39="Yes",G39="No"),"FN","")))))</f>
        <v/>
      </c>
      <c r="I39" s="4"/>
    </row>
    <row r="40" customFormat="false" ht="15" hidden="false" customHeight="false" outlineLevel="0" collapsed="false">
      <c r="A40" s="4" t="n">
        <v>36</v>
      </c>
      <c r="B40" s="4"/>
      <c r="C40" s="4"/>
      <c r="D40" s="4"/>
      <c r="E40" s="4"/>
      <c r="F40" s="4"/>
      <c r="G40" s="4"/>
      <c r="H40" s="4" t="str">
        <f aca="false">IF(D40="","",IF(AND(D40="Yes",G40="Yes"),"TP",IF(AND(D40="No",G40="No"),"TN",IF(AND(D40="No",G40="Yes"),"FP",IF(AND(D40="Yes",G40="No"),"FN","")))))</f>
        <v/>
      </c>
      <c r="I40" s="4"/>
    </row>
    <row r="41" customFormat="false" ht="15" hidden="false" customHeight="false" outlineLevel="0" collapsed="false">
      <c r="A41" s="4" t="n">
        <v>37</v>
      </c>
      <c r="B41" s="4"/>
      <c r="C41" s="4"/>
      <c r="D41" s="4"/>
      <c r="E41" s="4"/>
      <c r="F41" s="4"/>
      <c r="G41" s="4"/>
      <c r="H41" s="4" t="str">
        <f aca="false">IF(D41="","",IF(AND(D41="Yes",G41="Yes"),"TP",IF(AND(D41="No",G41="No"),"TN",IF(AND(D41="No",G41="Yes"),"FP",IF(AND(D41="Yes",G41="No"),"FN","")))))</f>
        <v/>
      </c>
      <c r="I41" s="4"/>
    </row>
    <row r="42" customFormat="false" ht="15" hidden="false" customHeight="false" outlineLevel="0" collapsed="false">
      <c r="A42" s="4" t="n">
        <v>38</v>
      </c>
      <c r="B42" s="4"/>
      <c r="C42" s="4"/>
      <c r="D42" s="4"/>
      <c r="E42" s="4"/>
      <c r="F42" s="4"/>
      <c r="G42" s="4"/>
      <c r="H42" s="4" t="str">
        <f aca="false">IF(D42="","",IF(AND(D42="Yes",G42="Yes"),"TP",IF(AND(D42="No",G42="No"),"TN",IF(AND(D42="No",G42="Yes"),"FP",IF(AND(D42="Yes",G42="No"),"FN","")))))</f>
        <v/>
      </c>
      <c r="I42" s="4"/>
    </row>
    <row r="43" customFormat="false" ht="15" hidden="false" customHeight="false" outlineLevel="0" collapsed="false">
      <c r="A43" s="4" t="n">
        <v>39</v>
      </c>
      <c r="B43" s="4"/>
      <c r="C43" s="4"/>
      <c r="D43" s="4"/>
      <c r="E43" s="4"/>
      <c r="F43" s="4"/>
      <c r="G43" s="4"/>
      <c r="H43" s="4" t="str">
        <f aca="false">IF(D43="","",IF(AND(D43="Yes",G43="Yes"),"TP",IF(AND(D43="No",G43="No"),"TN",IF(AND(D43="No",G43="Yes"),"FP",IF(AND(D43="Yes",G43="No"),"FN","")))))</f>
        <v/>
      </c>
      <c r="I43" s="4"/>
    </row>
    <row r="44" customFormat="false" ht="15" hidden="false" customHeight="false" outlineLevel="0" collapsed="false">
      <c r="A44" s="4" t="n">
        <v>40</v>
      </c>
      <c r="B44" s="4"/>
      <c r="C44" s="4"/>
      <c r="D44" s="4"/>
      <c r="E44" s="4"/>
      <c r="F44" s="4"/>
      <c r="G44" s="4"/>
      <c r="H44" s="4" t="str">
        <f aca="false">IF(D44="","",IF(AND(D44="Yes",G44="Yes"),"TP",IF(AND(D44="No",G44="No"),"TN",IF(AND(D44="No",G44="Yes"),"FP",IF(AND(D44="Yes",G44="No"),"FN","")))))</f>
        <v/>
      </c>
      <c r="I44" s="4"/>
    </row>
    <row r="45" customFormat="false" ht="15" hidden="false" customHeight="false" outlineLevel="0" collapsed="false">
      <c r="A45" s="4" t="n">
        <v>41</v>
      </c>
      <c r="B45" s="4"/>
      <c r="C45" s="4"/>
      <c r="D45" s="4"/>
      <c r="E45" s="4"/>
      <c r="F45" s="4"/>
      <c r="G45" s="4"/>
      <c r="H45" s="4" t="str">
        <f aca="false">IF(D45="","",IF(AND(D45="Yes",G45="Yes"),"TP",IF(AND(D45="No",G45="No"),"TN",IF(AND(D45="No",G45="Yes"),"FP",IF(AND(D45="Yes",G45="No"),"FN","")))))</f>
        <v/>
      </c>
      <c r="I45" s="4"/>
    </row>
    <row r="46" customFormat="false" ht="15" hidden="false" customHeight="false" outlineLevel="0" collapsed="false">
      <c r="A46" s="4" t="n">
        <v>42</v>
      </c>
      <c r="B46" s="4"/>
      <c r="C46" s="4"/>
      <c r="D46" s="4"/>
      <c r="E46" s="4"/>
      <c r="F46" s="4"/>
      <c r="G46" s="4"/>
      <c r="H46" s="4" t="str">
        <f aca="false">IF(D46="","",IF(AND(D46="Yes",G46="Yes"),"TP",IF(AND(D46="No",G46="No"),"TN",IF(AND(D46="No",G46="Yes"),"FP",IF(AND(D46="Yes",G46="No"),"FN","")))))</f>
        <v/>
      </c>
      <c r="I46" s="4"/>
    </row>
    <row r="47" customFormat="false" ht="15" hidden="false" customHeight="false" outlineLevel="0" collapsed="false">
      <c r="A47" s="4" t="n">
        <v>43</v>
      </c>
      <c r="B47" s="4"/>
      <c r="C47" s="4"/>
      <c r="D47" s="4"/>
      <c r="E47" s="4"/>
      <c r="F47" s="4"/>
      <c r="G47" s="4"/>
      <c r="H47" s="4" t="str">
        <f aca="false">IF(D47="","",IF(AND(D47="Yes",G47="Yes"),"TP",IF(AND(D47="No",G47="No"),"TN",IF(AND(D47="No",G47="Yes"),"FP",IF(AND(D47="Yes",G47="No"),"FN","")))))</f>
        <v/>
      </c>
      <c r="I47" s="4"/>
    </row>
    <row r="48" customFormat="false" ht="15" hidden="false" customHeight="false" outlineLevel="0" collapsed="false">
      <c r="A48" s="4" t="n">
        <v>44</v>
      </c>
      <c r="B48" s="4"/>
      <c r="C48" s="4"/>
      <c r="D48" s="4"/>
      <c r="E48" s="4"/>
      <c r="F48" s="4"/>
      <c r="G48" s="4"/>
      <c r="H48" s="4" t="str">
        <f aca="false">IF(D48="","",IF(AND(D48="Yes",G48="Yes"),"TP",IF(AND(D48="No",G48="No"),"TN",IF(AND(D48="No",G48="Yes"),"FP",IF(AND(D48="Yes",G48="No"),"FN","")))))</f>
        <v/>
      </c>
      <c r="I48" s="4"/>
    </row>
    <row r="49" customFormat="false" ht="15" hidden="false" customHeight="false" outlineLevel="0" collapsed="false">
      <c r="A49" s="4" t="n">
        <v>45</v>
      </c>
      <c r="B49" s="4"/>
      <c r="C49" s="4"/>
      <c r="D49" s="4"/>
      <c r="E49" s="4"/>
      <c r="F49" s="4"/>
      <c r="G49" s="4"/>
      <c r="H49" s="4" t="str">
        <f aca="false">IF(D49="","",IF(AND(D49="Yes",G49="Yes"),"TP",IF(AND(D49="No",G49="No"),"TN",IF(AND(D49="No",G49="Yes"),"FP",IF(AND(D49="Yes",G49="No"),"FN","")))))</f>
        <v/>
      </c>
      <c r="I49" s="4"/>
    </row>
    <row r="50" customFormat="false" ht="15" hidden="false" customHeight="false" outlineLevel="0" collapsed="false">
      <c r="A50" s="4" t="n">
        <v>46</v>
      </c>
      <c r="B50" s="4"/>
      <c r="C50" s="4"/>
      <c r="D50" s="4"/>
      <c r="E50" s="4"/>
      <c r="F50" s="4"/>
      <c r="G50" s="4"/>
      <c r="H50" s="4" t="str">
        <f aca="false">IF(D50="","",IF(AND(D50="Yes",G50="Yes"),"TP",IF(AND(D50="No",G50="No"),"TN",IF(AND(D50="No",G50="Yes"),"FP",IF(AND(D50="Yes",G50="No"),"FN","")))))</f>
        <v/>
      </c>
      <c r="I50" s="4"/>
    </row>
    <row r="51" customFormat="false" ht="15" hidden="false" customHeight="false" outlineLevel="0" collapsed="false">
      <c r="A51" s="4" t="n">
        <v>47</v>
      </c>
      <c r="B51" s="4"/>
      <c r="C51" s="4"/>
      <c r="D51" s="4"/>
      <c r="E51" s="4"/>
      <c r="F51" s="4"/>
      <c r="G51" s="4"/>
      <c r="H51" s="4" t="str">
        <f aca="false">IF(D51="","",IF(AND(D51="Yes",G51="Yes"),"TP",IF(AND(D51="No",G51="No"),"TN",IF(AND(D51="No",G51="Yes"),"FP",IF(AND(D51="Yes",G51="No"),"FN","")))))</f>
        <v/>
      </c>
      <c r="I51" s="4"/>
    </row>
    <row r="52" customFormat="false" ht="15" hidden="false" customHeight="false" outlineLevel="0" collapsed="false">
      <c r="A52" s="4" t="n">
        <v>48</v>
      </c>
      <c r="B52" s="4"/>
      <c r="C52" s="4"/>
      <c r="D52" s="4"/>
      <c r="E52" s="4"/>
      <c r="F52" s="4"/>
      <c r="G52" s="4"/>
      <c r="H52" s="4" t="str">
        <f aca="false">IF(D52="","",IF(AND(D52="Yes",G52="Yes"),"TP",IF(AND(D52="No",G52="No"),"TN",IF(AND(D52="No",G52="Yes"),"FP",IF(AND(D52="Yes",G52="No"),"FN","")))))</f>
        <v/>
      </c>
      <c r="I52" s="4"/>
    </row>
    <row r="53" customFormat="false" ht="15" hidden="false" customHeight="false" outlineLevel="0" collapsed="false">
      <c r="A53" s="4" t="n">
        <v>49</v>
      </c>
      <c r="B53" s="4"/>
      <c r="C53" s="4"/>
      <c r="D53" s="4"/>
      <c r="E53" s="4"/>
      <c r="F53" s="4"/>
      <c r="G53" s="4"/>
      <c r="H53" s="4" t="str">
        <f aca="false">IF(D53="","",IF(AND(D53="Yes",G53="Yes"),"TP",IF(AND(D53="No",G53="No"),"TN",IF(AND(D53="No",G53="Yes"),"FP",IF(AND(D53="Yes",G53="No"),"FN","")))))</f>
        <v/>
      </c>
      <c r="I53" s="4"/>
    </row>
    <row r="54" customFormat="false" ht="15" hidden="false" customHeight="false" outlineLevel="0" collapsed="false">
      <c r="A54" s="4" t="n">
        <v>50</v>
      </c>
      <c r="B54" s="4"/>
      <c r="C54" s="4"/>
      <c r="D54" s="4"/>
      <c r="E54" s="4"/>
      <c r="F54" s="4"/>
      <c r="G54" s="4"/>
      <c r="H54" s="4" t="str">
        <f aca="false">IF(D54="","",IF(AND(D54="Yes",G54="Yes"),"TP",IF(AND(D54="No",G54="No"),"TN",IF(AND(D54="No",G54="Yes"),"FP",IF(AND(D54="Yes",G54="No"),"FN","")))))</f>
        <v/>
      </c>
      <c r="I54" s="4"/>
    </row>
    <row r="55" customFormat="false" ht="15" hidden="false" customHeight="false" outlineLevel="0" collapsed="false">
      <c r="A55" s="4" t="n">
        <v>51</v>
      </c>
      <c r="B55" s="4"/>
      <c r="C55" s="4"/>
      <c r="D55" s="4"/>
      <c r="E55" s="4"/>
      <c r="F55" s="4"/>
      <c r="G55" s="4"/>
      <c r="H55" s="4" t="str">
        <f aca="false">IF(D55="","",IF(AND(D55="Yes",G55="Yes"),"TP",IF(AND(D55="No",G55="No"),"TN",IF(AND(D55="No",G55="Yes"),"FP",IF(AND(D55="Yes",G55="No"),"FN","")))))</f>
        <v/>
      </c>
      <c r="I55" s="4"/>
    </row>
    <row r="56" customFormat="false" ht="15" hidden="false" customHeight="false" outlineLevel="0" collapsed="false">
      <c r="A56" s="4" t="n">
        <v>52</v>
      </c>
      <c r="B56" s="4"/>
      <c r="C56" s="4"/>
      <c r="D56" s="4"/>
      <c r="E56" s="4"/>
      <c r="F56" s="4"/>
      <c r="G56" s="4"/>
      <c r="H56" s="4" t="str">
        <f aca="false">IF(D56="","",IF(AND(D56="Yes",G56="Yes"),"TP",IF(AND(D56="No",G56="No"),"TN",IF(AND(D56="No",G56="Yes"),"FP",IF(AND(D56="Yes",G56="No"),"FN","")))))</f>
        <v/>
      </c>
      <c r="I56" s="4"/>
    </row>
    <row r="57" customFormat="false" ht="15" hidden="false" customHeight="false" outlineLevel="0" collapsed="false">
      <c r="A57" s="4" t="n">
        <v>53</v>
      </c>
      <c r="B57" s="4"/>
      <c r="C57" s="4"/>
      <c r="D57" s="4"/>
      <c r="E57" s="4"/>
      <c r="F57" s="4"/>
      <c r="G57" s="4"/>
      <c r="H57" s="4" t="str">
        <f aca="false">IF(D57="","",IF(AND(D57="Yes",G57="Yes"),"TP",IF(AND(D57="No",G57="No"),"TN",IF(AND(D57="No",G57="Yes"),"FP",IF(AND(D57="Yes",G57="No"),"FN","")))))</f>
        <v/>
      </c>
      <c r="I57" s="4"/>
    </row>
    <row r="58" customFormat="false" ht="15" hidden="false" customHeight="false" outlineLevel="0" collapsed="false">
      <c r="A58" s="4" t="n">
        <v>54</v>
      </c>
      <c r="B58" s="4"/>
      <c r="C58" s="4"/>
      <c r="D58" s="4"/>
      <c r="E58" s="4"/>
      <c r="F58" s="4"/>
      <c r="G58" s="4"/>
      <c r="H58" s="4" t="str">
        <f aca="false">IF(D58="","",IF(AND(D58="Yes",G58="Yes"),"TP",IF(AND(D58="No",G58="No"),"TN",IF(AND(D58="No",G58="Yes"),"FP",IF(AND(D58="Yes",G58="No"),"FN","")))))</f>
        <v/>
      </c>
      <c r="I58" s="4"/>
    </row>
    <row r="59" customFormat="false" ht="15" hidden="false" customHeight="false" outlineLevel="0" collapsed="false">
      <c r="A59" s="4" t="n">
        <v>55</v>
      </c>
      <c r="B59" s="4"/>
      <c r="C59" s="4"/>
      <c r="D59" s="4"/>
      <c r="E59" s="4"/>
      <c r="F59" s="4"/>
      <c r="G59" s="4"/>
      <c r="H59" s="4" t="str">
        <f aca="false">IF(D59="","",IF(AND(D59="Yes",G59="Yes"),"TP",IF(AND(D59="No",G59="No"),"TN",IF(AND(D59="No",G59="Yes"),"FP",IF(AND(D59="Yes",G59="No"),"FN","")))))</f>
        <v/>
      </c>
      <c r="I59" s="4"/>
    </row>
    <row r="60" customFormat="false" ht="15" hidden="false" customHeight="false" outlineLevel="0" collapsed="false">
      <c r="A60" s="4" t="n">
        <v>56</v>
      </c>
      <c r="B60" s="4"/>
      <c r="C60" s="4"/>
      <c r="D60" s="4"/>
      <c r="E60" s="4"/>
      <c r="F60" s="4"/>
      <c r="G60" s="4"/>
      <c r="H60" s="4" t="str">
        <f aca="false">IF(D60="","",IF(AND(D60="Yes",G60="Yes"),"TP",IF(AND(D60="No",G60="No"),"TN",IF(AND(D60="No",G60="Yes"),"FP",IF(AND(D60="Yes",G60="No"),"FN","")))))</f>
        <v/>
      </c>
      <c r="I60" s="4"/>
    </row>
    <row r="61" customFormat="false" ht="15" hidden="false" customHeight="false" outlineLevel="0" collapsed="false">
      <c r="A61" s="4" t="n">
        <v>57</v>
      </c>
      <c r="B61" s="4"/>
      <c r="C61" s="4"/>
      <c r="D61" s="4"/>
      <c r="E61" s="4"/>
      <c r="F61" s="4"/>
      <c r="G61" s="4"/>
      <c r="H61" s="4" t="str">
        <f aca="false">IF(D61="","",IF(AND(D61="Yes",G61="Yes"),"TP",IF(AND(D61="No",G61="No"),"TN",IF(AND(D61="No",G61="Yes"),"FP",IF(AND(D61="Yes",G61="No"),"FN","")))))</f>
        <v/>
      </c>
      <c r="I61" s="4"/>
    </row>
    <row r="62" customFormat="false" ht="15" hidden="false" customHeight="false" outlineLevel="0" collapsed="false">
      <c r="A62" s="4" t="n">
        <v>58</v>
      </c>
      <c r="B62" s="4"/>
      <c r="C62" s="4"/>
      <c r="D62" s="4"/>
      <c r="E62" s="4"/>
      <c r="F62" s="4"/>
      <c r="G62" s="4"/>
      <c r="H62" s="4" t="str">
        <f aca="false">IF(D62="","",IF(AND(D62="Yes",G62="Yes"),"TP",IF(AND(D62="No",G62="No"),"TN",IF(AND(D62="No",G62="Yes"),"FP",IF(AND(D62="Yes",G62="No"),"FN","")))))</f>
        <v/>
      </c>
      <c r="I62" s="4"/>
    </row>
    <row r="63" customFormat="false" ht="15" hidden="false" customHeight="false" outlineLevel="0" collapsed="false">
      <c r="A63" s="4" t="n">
        <v>59</v>
      </c>
      <c r="B63" s="4"/>
      <c r="C63" s="4"/>
      <c r="D63" s="4"/>
      <c r="E63" s="4"/>
      <c r="F63" s="4"/>
      <c r="G63" s="4"/>
      <c r="H63" s="4" t="str">
        <f aca="false">IF(D63="","",IF(AND(D63="Yes",G63="Yes"),"TP",IF(AND(D63="No",G63="No"),"TN",IF(AND(D63="No",G63="Yes"),"FP",IF(AND(D63="Yes",G63="No"),"FN","")))))</f>
        <v/>
      </c>
      <c r="I63" s="4"/>
    </row>
    <row r="64" customFormat="false" ht="15" hidden="false" customHeight="false" outlineLevel="0" collapsed="false">
      <c r="A64" s="4" t="n">
        <v>60</v>
      </c>
      <c r="B64" s="4"/>
      <c r="C64" s="4"/>
      <c r="D64" s="4"/>
      <c r="E64" s="4"/>
      <c r="F64" s="4"/>
      <c r="G64" s="4"/>
      <c r="H64" s="4" t="str">
        <f aca="false">IF(D64="","",IF(AND(D64="Yes",G64="Yes"),"TP",IF(AND(D64="No",G64="No"),"TN",IF(AND(D64="No",G64="Yes"),"FP",IF(AND(D64="Yes",G64="No"),"FN","")))))</f>
        <v/>
      </c>
      <c r="I64" s="4"/>
    </row>
    <row r="67" customFormat="false" ht="16.15" hidden="false" customHeight="false" outlineLevel="0" collapsed="false">
      <c r="A67" s="5" t="s">
        <v>11</v>
      </c>
      <c r="B67" s="5"/>
      <c r="C67" s="5"/>
      <c r="D67" s="5"/>
    </row>
    <row r="68" customFormat="false" ht="15" hidden="false" customHeight="false" outlineLevel="0" collapsed="false">
      <c r="A68" s="6" t="s">
        <v>12</v>
      </c>
      <c r="B68" s="7" t="n">
        <f aca="false">COUNTIF(H5:H64,"TP")</f>
        <v>0</v>
      </c>
    </row>
    <row r="69" customFormat="false" ht="15" hidden="false" customHeight="false" outlineLevel="0" collapsed="false">
      <c r="A69" s="6" t="s">
        <v>13</v>
      </c>
      <c r="B69" s="7" t="n">
        <f aca="false">COUNTIF(H5:H64,"TN")</f>
        <v>0</v>
      </c>
    </row>
    <row r="70" customFormat="false" ht="15" hidden="false" customHeight="false" outlineLevel="0" collapsed="false">
      <c r="A70" s="6" t="s">
        <v>14</v>
      </c>
      <c r="B70" s="7" t="n">
        <f aca="false">COUNTIF(H5:H64,"FP")</f>
        <v>0</v>
      </c>
    </row>
    <row r="71" customFormat="false" ht="15" hidden="false" customHeight="false" outlineLevel="0" collapsed="false">
      <c r="A71" s="6" t="s">
        <v>15</v>
      </c>
      <c r="B71" s="7" t="n">
        <f aca="false">COUNTIF(H5:H64,"FN")</f>
        <v>0</v>
      </c>
    </row>
    <row r="73" customFormat="false" ht="16.15" hidden="false" customHeight="false" outlineLevel="0" collapsed="false">
      <c r="A73" s="5" t="s">
        <v>16</v>
      </c>
      <c r="B73" s="5"/>
      <c r="C73" s="5"/>
      <c r="D73" s="5"/>
    </row>
    <row r="74" customFormat="false" ht="15" hidden="false" customHeight="false" outlineLevel="0" collapsed="false">
      <c r="A74" s="6" t="s">
        <v>17</v>
      </c>
      <c r="B74" s="8" t="str">
        <f aca="false">IFERROR(B68/(B68+B71),"-")</f>
        <v>-</v>
      </c>
      <c r="C74" s="9" t="s">
        <v>18</v>
      </c>
      <c r="D74" s="9"/>
      <c r="E74" s="9"/>
      <c r="F74" s="9"/>
    </row>
    <row r="75" customFormat="false" ht="15" hidden="false" customHeight="false" outlineLevel="0" collapsed="false">
      <c r="A75" s="6" t="s">
        <v>19</v>
      </c>
      <c r="B75" s="8" t="str">
        <f aca="false">IFERROR(B69/(B69+B70),"-")</f>
        <v>-</v>
      </c>
      <c r="C75" s="9" t="s">
        <v>20</v>
      </c>
      <c r="D75" s="9"/>
      <c r="E75" s="9"/>
      <c r="F75" s="9"/>
    </row>
    <row r="76" customFormat="false" ht="15" hidden="false" customHeight="false" outlineLevel="0" collapsed="false">
      <c r="A76" s="6" t="s">
        <v>21</v>
      </c>
      <c r="B76" s="8" t="str">
        <f aca="false">IFERROR(B68/(B68+B70),"-")</f>
        <v>-</v>
      </c>
      <c r="C76" s="9" t="s">
        <v>22</v>
      </c>
      <c r="D76" s="9"/>
      <c r="E76" s="9"/>
      <c r="F76" s="9"/>
    </row>
    <row r="77" customFormat="false" ht="15" hidden="false" customHeight="false" outlineLevel="0" collapsed="false">
      <c r="A77" s="6" t="s">
        <v>23</v>
      </c>
      <c r="B77" s="8" t="str">
        <f aca="false">IFERROR((B68+B69)/(B68+B69+B70+B71),"-")</f>
        <v>-</v>
      </c>
      <c r="C77" s="9" t="s">
        <v>24</v>
      </c>
      <c r="D77" s="9"/>
      <c r="E77" s="9"/>
      <c r="F77" s="9"/>
    </row>
    <row r="78" customFormat="false" ht="15" hidden="false" customHeight="false" outlineLevel="0" collapsed="false">
      <c r="A78" s="6" t="s">
        <v>25</v>
      </c>
      <c r="B78" s="8" t="str">
        <f aca="false">IFERROR(2*((B77)*(B76)/((B77)+(B76))),"-")</f>
        <v>-</v>
      </c>
      <c r="C78" s="9" t="s">
        <v>26</v>
      </c>
      <c r="D78" s="9"/>
      <c r="E78" s="9"/>
      <c r="F78" s="9"/>
    </row>
  </sheetData>
  <mergeCells count="9">
    <mergeCell ref="A1:I1"/>
    <mergeCell ref="A2:I2"/>
    <mergeCell ref="A67:D67"/>
    <mergeCell ref="A73:D73"/>
    <mergeCell ref="C74:F74"/>
    <mergeCell ref="C75:F75"/>
    <mergeCell ref="C76:F76"/>
    <mergeCell ref="C77:F77"/>
    <mergeCell ref="C78:F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0" t="s">
        <v>27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28</v>
      </c>
    </row>
    <row r="4" customFormat="false" ht="15" hidden="false" customHeight="false" outlineLevel="0" collapsed="false">
      <c r="A4" s="11" t="s">
        <v>29</v>
      </c>
    </row>
    <row r="5" customFormat="false" ht="15" hidden="false" customHeight="false" outlineLevel="0" collapsed="false">
      <c r="A5" s="11" t="s">
        <v>30</v>
      </c>
    </row>
    <row r="6" customFormat="false" ht="15" hidden="false" customHeight="false" outlineLevel="0" collapsed="false">
      <c r="A6" s="11" t="s">
        <v>31</v>
      </c>
    </row>
    <row r="7" customFormat="false" ht="15" hidden="false" customHeight="false" outlineLevel="0" collapsed="false">
      <c r="A7" s="11" t="s">
        <v>32</v>
      </c>
    </row>
    <row r="8" customFormat="false" ht="15" hidden="false" customHeight="false" outlineLevel="0" collapsed="false">
      <c r="A8" s="11" t="s">
        <v>33</v>
      </c>
    </row>
    <row r="9" customFormat="false" ht="15" hidden="false" customHeight="false" outlineLevel="0" collapsed="false">
      <c r="A9" s="11" t="s">
        <v>34</v>
      </c>
    </row>
    <row r="10" customFormat="false" ht="15" hidden="false" customHeight="false" outlineLevel="0" collapsed="false">
      <c r="A10" s="11" t="s">
        <v>35</v>
      </c>
    </row>
    <row r="11" customFormat="false" ht="15" hidden="false" customHeight="false" outlineLevel="0" collapsed="false">
      <c r="A11" s="11" t="s">
        <v>36</v>
      </c>
    </row>
    <row r="12" customFormat="false" ht="15" hidden="false" customHeight="false" outlineLevel="0" collapsed="false">
      <c r="A12" s="11" t="s">
        <v>37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1" t="s">
        <v>38</v>
      </c>
    </row>
    <row r="15" customFormat="false" ht="15" hidden="false" customHeight="false" outlineLevel="0" collapsed="false">
      <c r="A15" s="11" t="s">
        <v>39</v>
      </c>
    </row>
    <row r="16" customFormat="false" ht="15" hidden="false" customHeight="false" outlineLevel="0" collapsed="false">
      <c r="A16" s="11" t="s">
        <v>40</v>
      </c>
    </row>
    <row r="17" customFormat="false" ht="15" hidden="false" customHeight="false" outlineLevel="0" collapsed="false">
      <c r="A17" s="11" t="s">
        <v>41</v>
      </c>
    </row>
    <row r="18" customFormat="false" ht="15" hidden="false" customHeight="false" outlineLevel="0" collapsed="false">
      <c r="A18" s="1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2026-06-17T13:56:22Z</dcterms:created>
  <dc:creator>openpyxl</dc:creator>
  <dc:description/>
  <dc:language>en-US</dc:language>
  <cp:lastModifiedBy/>
  <dcterms:modified xsi:type="dcterms:W3CDTF">2026-06-17T13:56:22Z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